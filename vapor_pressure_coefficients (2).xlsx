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<sst xmlns="http://schemas.openxmlformats.org/spreadsheetml/2006/main" count="47" uniqueCount="32">
  <si>
    <t xml:space="preserve">Species</t>
  </si>
  <si>
    <t xml:space="preserve">b0</t>
  </si>
  <si>
    <t xml:space="preserve">b1 (K)</t>
  </si>
  <si>
    <t xml:space="preserve">b1 (eV)</t>
  </si>
  <si>
    <t xml:space="preserve">b1 (kJ/mol)</t>
  </si>
  <si>
    <t xml:space="preserve">b2</t>
  </si>
  <si>
    <t xml:space="preserve">b3</t>
  </si>
  <si>
    <t xml:space="preserve">Phase</t>
  </si>
  <si>
    <t xml:space="preserve">Reference</t>
  </si>
  <si>
    <t xml:space="preserve">Example</t>
  </si>
  <si>
    <t xml:space="preserve">(Pa)</t>
  </si>
  <si>
    <t xml:space="preserve">H2O</t>
  </si>
  <si>
    <t xml:space="preserve">Ih</t>
  </si>
  <si>
    <t xml:space="preserve">Murphy &amp; Koop (2005)</t>
  </si>
  <si>
    <t xml:space="preserve">Ar</t>
  </si>
  <si>
    <t xml:space="preserve">Schorghofer &amp; Williams (2024), corrected</t>
  </si>
  <si>
    <t xml:space="preserve">CO2</t>
  </si>
  <si>
    <t xml:space="preserve">Ic</t>
  </si>
  <si>
    <t xml:space="preserve">H2S</t>
  </si>
  <si>
    <t xml:space="preserve">Schorghofer &amp; Williams (2024)</t>
  </si>
  <si>
    <t xml:space="preserve">NH3</t>
  </si>
  <si>
    <t xml:space="preserve">SO2</t>
  </si>
  <si>
    <t xml:space="preserve">CH4</t>
  </si>
  <si>
    <t xml:space="preserve">HCN</t>
  </si>
  <si>
    <t xml:space="preserve">CH3OH</t>
  </si>
  <si>
    <t xml:space="preserve">alpha</t>
  </si>
  <si>
    <t xml:space="preserve">Lucas et al. (2005)</t>
  </si>
  <si>
    <t xml:space="preserve">beta</t>
  </si>
  <si>
    <t xml:space="preserve">C2H4</t>
  </si>
  <si>
    <t xml:space="preserve">ln(p)=b0-b1/T+b2*ln(T)+b3*T  (in Pascal)</t>
  </si>
  <si>
    <t xml:space="preserve">Norbert Schorghofer, December 2023</t>
  </si>
  <si>
    <t xml:space="preserve">corrected, July 2025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</si>
</sst>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0"/>
    <numFmt numFmtId="166" formatCode="#,##0"/>
    <numFmt numFmtId="167" formatCode="0.00E+00"/>
    <numFmt numFmtId="168" formatCode="0"/>
    <numFmt numFmtId="169" formatCode="#,##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i val="true"/>
      <sz val="10"/>
      <name val="Arial"/>
      <family val="2"/>
      <charset val="1"/>
    </font>
    <font>
      <i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11.640625" defaultRowHeight="12.8" zeroHeight="false" outlineLevelRow="0" outlineLevelCol="0"/>
  <cols>
    <col collapsed="false" customWidth="true" hidden="false" outlineLevel="0" max="8" min="8" style="1" width="11.58"/>
    <col collapsed="false" customWidth="true" hidden="false" outlineLevel="0" max="9" min="9" style="2" width="23.37"/>
    <col collapsed="false" customWidth="true" hidden="false" outlineLevel="0" max="13" min="13" style="2" width="12.22"/>
  </cols>
  <sheetData>
    <row r="2" s="5" customFormat="true" ht="12.8" hidden="false" customHeight="fals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/>
      <c r="K2" s="3" t="s">
        <v>9</v>
      </c>
      <c r="L2" s="4" t="n">
        <v>110</v>
      </c>
      <c r="M2" s="3" t="s">
        <v>10</v>
      </c>
    </row>
    <row r="3" customFormat="false" ht="12.8" hidden="false" customHeight="false" outlineLevel="0" collapsed="false">
      <c r="A3" s="6" t="s">
        <v>11</v>
      </c>
      <c r="B3" s="2" t="n">
        <v>28.9074</v>
      </c>
      <c r="C3" s="2" t="n">
        <v>6143.7</v>
      </c>
      <c r="D3" s="7" t="n">
        <f aca="false">C3*0.00008617333262</f>
        <v>0.529423103617494</v>
      </c>
      <c r="E3" s="8" t="n">
        <f aca="false">C3*8.3145</f>
        <v>51081.79365</v>
      </c>
      <c r="H3" s="1" t="s">
        <v>12</v>
      </c>
      <c r="I3" s="6" t="s">
        <v>13</v>
      </c>
      <c r="M3" s="9" t="n">
        <f aca="false">EXP(B3-C3/$L$2)</f>
        <v>1.98695424099125E-012</v>
      </c>
    </row>
    <row r="4" customFormat="false" ht="12.8" hidden="false" customHeight="false" outlineLevel="0" collapsed="false">
      <c r="A4" s="6" t="s">
        <v>11</v>
      </c>
      <c r="B4" s="2" t="n">
        <v>9.550426</v>
      </c>
      <c r="C4" s="2" t="n">
        <v>5723.265</v>
      </c>
      <c r="D4" s="7" t="n">
        <f aca="false">C4*0.00008617333262</f>
        <v>0.493192818517404</v>
      </c>
      <c r="E4" s="8" t="n">
        <f aca="false">C4*8.3145</f>
        <v>47586.0868425</v>
      </c>
      <c r="F4" s="2" t="n">
        <v>3.53068</v>
      </c>
      <c r="G4" s="2" t="n">
        <v>-0.00728332</v>
      </c>
      <c r="H4" s="1" t="s">
        <v>12</v>
      </c>
      <c r="I4" s="6" t="s">
        <v>13</v>
      </c>
      <c r="M4" s="9" t="n">
        <f aca="false">EXP(B4-C4/$L$2+F4*LN($L$2)+G4*$L$2)</f>
        <v>2.57665517916885E-012</v>
      </c>
    </row>
    <row r="5" customFormat="false" ht="12.8" hidden="false" customHeight="false" outlineLevel="0" collapsed="false">
      <c r="A5" s="6" t="s">
        <v>14</v>
      </c>
      <c r="B5" s="2" t="n">
        <v>30.86</v>
      </c>
      <c r="C5" s="2" t="n">
        <v>1076</v>
      </c>
      <c r="D5" s="7" t="n">
        <f aca="false">C5*0.00008617333262</f>
        <v>0.09272250589912</v>
      </c>
      <c r="E5" s="8" t="n">
        <f aca="false">C5*8.3145</f>
        <v>8946.402</v>
      </c>
      <c r="F5" s="2" t="n">
        <v>-1.551</v>
      </c>
      <c r="I5" s="6" t="s">
        <v>15</v>
      </c>
      <c r="M5" s="9" t="n">
        <f aca="false">EXP(B5-C5/$L$2+F5*LN($L$2))</f>
        <v>972608.358449398</v>
      </c>
    </row>
    <row r="6" customFormat="false" ht="12.8" hidden="false" customHeight="false" outlineLevel="0" collapsed="false">
      <c r="A6" s="2" t="s">
        <v>16</v>
      </c>
      <c r="B6" s="10" t="n">
        <v>32.61</v>
      </c>
      <c r="C6" s="2" t="n">
        <v>3291</v>
      </c>
      <c r="D6" s="7" t="n">
        <f aca="false">C6*0.00008617333262</f>
        <v>0.28359643765242</v>
      </c>
      <c r="E6" s="8" t="n">
        <f aca="false">C6*8.3145</f>
        <v>27363.0195</v>
      </c>
      <c r="F6" s="2" t="n">
        <v>-0.7947</v>
      </c>
      <c r="H6" s="1" t="s">
        <v>17</v>
      </c>
      <c r="I6" s="6" t="s">
        <v>15</v>
      </c>
      <c r="M6" s="11" t="n">
        <f aca="false">EXP(B6-C6/$L$2+F6*LN($L$2))</f>
        <v>0.352165668528114</v>
      </c>
    </row>
    <row r="7" customFormat="false" ht="12.8" hidden="false" customHeight="false" outlineLevel="0" collapsed="false">
      <c r="A7" s="2" t="s">
        <v>18</v>
      </c>
      <c r="B7" s="10" t="n">
        <v>24.45</v>
      </c>
      <c r="C7" s="2" t="n">
        <v>2702</v>
      </c>
      <c r="D7" s="7" t="n">
        <f aca="false">C7*0.00008617333262</f>
        <v>0.23284034473924</v>
      </c>
      <c r="E7" s="8" t="n">
        <f aca="false">C7*8.3145</f>
        <v>22465.779</v>
      </c>
      <c r="H7" s="1" t="s">
        <v>17</v>
      </c>
      <c r="I7" s="6" t="s">
        <v>19</v>
      </c>
      <c r="M7" s="9" t="n">
        <f aca="false">EXP(B7-C7/$L$2)</f>
        <v>0.892582472320324</v>
      </c>
    </row>
    <row r="8" customFormat="false" ht="12.8" hidden="false" customHeight="false" outlineLevel="0" collapsed="false">
      <c r="A8" s="2" t="s">
        <v>20</v>
      </c>
      <c r="B8" s="2" t="n">
        <v>28.71</v>
      </c>
      <c r="C8" s="2" t="n">
        <v>3903</v>
      </c>
      <c r="D8" s="7" t="n">
        <f aca="false">C8*0.00008617333262</f>
        <v>0.33633451721586</v>
      </c>
      <c r="E8" s="8" t="n">
        <f aca="false">C8*8.3145</f>
        <v>32451.4935</v>
      </c>
      <c r="I8" s="6" t="s">
        <v>15</v>
      </c>
      <c r="M8" s="9" t="n">
        <f aca="false">EXP(B8-C8/$L$2)</f>
        <v>0.0011456098292211</v>
      </c>
    </row>
    <row r="9" s="2" customFormat="true" ht="12.8" hidden="false" customHeight="false" outlineLevel="0" collapsed="false">
      <c r="A9" s="6" t="s">
        <v>21</v>
      </c>
      <c r="B9" s="6" t="n">
        <v>28.92</v>
      </c>
      <c r="C9" s="12" t="n">
        <v>4262</v>
      </c>
      <c r="D9" s="7" t="n">
        <f aca="false">C9*0.00008617333262</f>
        <v>0.36727074362644</v>
      </c>
      <c r="E9" s="8" t="n">
        <f aca="false">C9*8.3145</f>
        <v>35436.399</v>
      </c>
      <c r="H9" s="1"/>
      <c r="I9" s="6" t="s">
        <v>15</v>
      </c>
      <c r="M9" s="11" t="n">
        <f aca="false">EXP(B9-C9/$L$2)</f>
        <v>5.40579171981407E-005</v>
      </c>
    </row>
    <row r="10" s="2" customFormat="true" ht="12.8" hidden="false" customHeight="false" outlineLevel="0" collapsed="false">
      <c r="A10" s="6" t="s">
        <v>21</v>
      </c>
      <c r="B10" s="6" t="n">
        <v>9.435</v>
      </c>
      <c r="C10" s="6" t="n">
        <v>3775</v>
      </c>
      <c r="D10" s="7" t="n">
        <f aca="false">C10*0.00008617333262</f>
        <v>0.3253043306405</v>
      </c>
      <c r="E10" s="8" t="n">
        <f aca="false">C10*8.3145</f>
        <v>31387.2375</v>
      </c>
      <c r="F10" s="2" t="n">
        <v>3.225</v>
      </c>
      <c r="H10" s="1"/>
      <c r="I10" s="6" t="s">
        <v>15</v>
      </c>
      <c r="M10" s="11" t="n">
        <f aca="false">EXP(B10-C10/$L$2+F10*LN($L$2))</f>
        <v>5.9822265202632E-005</v>
      </c>
    </row>
    <row r="11" customFormat="false" ht="12.8" hidden="false" customHeight="false" outlineLevel="0" collapsed="false">
      <c r="A11" s="2" t="s">
        <v>22</v>
      </c>
      <c r="B11" s="2" t="n">
        <v>22.19</v>
      </c>
      <c r="C11" s="12" t="n">
        <v>1164</v>
      </c>
      <c r="D11" s="7" t="n">
        <f aca="false">C11*0.00008617333262</f>
        <v>0.10030575916968</v>
      </c>
      <c r="E11" s="8" t="n">
        <f aca="false">C11*8.3145</f>
        <v>9678.078</v>
      </c>
      <c r="H11" s="1" t="s">
        <v>17</v>
      </c>
      <c r="I11" s="6" t="s">
        <v>15</v>
      </c>
      <c r="M11" s="9" t="n">
        <f aca="false">EXP(B11-C11/$L$2)</f>
        <v>109994.079234148</v>
      </c>
    </row>
    <row r="12" customFormat="false" ht="12.8" hidden="false" customHeight="false" outlineLevel="0" collapsed="false">
      <c r="A12" s="2" t="s">
        <v>23</v>
      </c>
      <c r="B12" s="2" t="n">
        <v>27.03</v>
      </c>
      <c r="C12" s="2" t="n">
        <v>4472</v>
      </c>
      <c r="D12" s="7" t="n">
        <f aca="false">C12*0.00008617333262</f>
        <v>0.38536714347664</v>
      </c>
      <c r="E12" s="8" t="n">
        <f aca="false">C12*8.3145</f>
        <v>37182.444</v>
      </c>
      <c r="I12" s="6" t="s">
        <v>19</v>
      </c>
      <c r="M12" s="9" t="n">
        <f aca="false">EXP(B12-C12/$L$2)</f>
        <v>1.21041721192179E-006</v>
      </c>
    </row>
    <row r="13" customFormat="false" ht="12.8" hidden="false" customHeight="false" outlineLevel="0" collapsed="false">
      <c r="A13" s="2" t="s">
        <v>24</v>
      </c>
      <c r="B13" s="2" t="n">
        <v>15.94</v>
      </c>
      <c r="C13" s="2" t="n">
        <v>2453</v>
      </c>
      <c r="D13" s="7" t="n">
        <f aca="false">C13*0.00008617333262</f>
        <v>0.21138318491686</v>
      </c>
      <c r="E13" s="8" t="n">
        <f aca="false">C13*8.3145</f>
        <v>20395.4685</v>
      </c>
      <c r="H13" s="1" t="s">
        <v>25</v>
      </c>
      <c r="I13" s="2" t="s">
        <v>26</v>
      </c>
      <c r="M13" s="9" t="n">
        <f aca="false">EXP(B13-C13/$L$2)</f>
        <v>0.00172936671185715</v>
      </c>
    </row>
    <row r="14" customFormat="false" ht="12.8" hidden="false" customHeight="false" outlineLevel="0" collapsed="false">
      <c r="A14" s="2" t="s">
        <v>24</v>
      </c>
      <c r="B14" s="2" t="n">
        <v>15.02</v>
      </c>
      <c r="C14" s="2" t="n">
        <v>2308</v>
      </c>
      <c r="D14" s="7" t="n">
        <f aca="false">C14*0.00008617333262</f>
        <v>0.19888805168696</v>
      </c>
      <c r="E14" s="8" t="n">
        <f aca="false">C14*8.3145</f>
        <v>19189.866</v>
      </c>
      <c r="H14" s="1" t="s">
        <v>27</v>
      </c>
      <c r="I14" s="2" t="s">
        <v>26</v>
      </c>
      <c r="M14" s="9" t="n">
        <f aca="false">EXP(B14-C14/$L$2)</f>
        <v>0.00257522548472118</v>
      </c>
    </row>
    <row r="15" customFormat="false" ht="12.8" hidden="false" customHeight="false" outlineLevel="0" collapsed="false">
      <c r="A15" s="2" t="s">
        <v>28</v>
      </c>
      <c r="B15" s="2" t="n">
        <v>26.92</v>
      </c>
      <c r="C15" s="2" t="n">
        <v>2302</v>
      </c>
      <c r="D15" s="7" t="n">
        <f aca="false">C15*0.00008617333262</f>
        <v>0.19837101169124</v>
      </c>
      <c r="E15" s="8" t="n">
        <f aca="false">C15*8.3145</f>
        <v>19139.979</v>
      </c>
      <c r="I15" s="6" t="s">
        <v>15</v>
      </c>
      <c r="M15" s="9" t="n">
        <f aca="false">EXP(B15-C15/$L$2)</f>
        <v>400.505409277184</v>
      </c>
    </row>
    <row r="16" customFormat="false" ht="12.8" hidden="false" customHeight="false" outlineLevel="0" collapsed="false">
      <c r="D16" s="7"/>
      <c r="E16" s="8"/>
    </row>
    <row r="17" customFormat="false" ht="12.8" hidden="false" customHeight="false" outlineLevel="0" collapsed="false">
      <c r="D17" s="7"/>
      <c r="E17" s="8"/>
    </row>
    <row r="18" customFormat="false" ht="12.8" hidden="false" customHeight="false" outlineLevel="0" collapsed="false">
      <c r="A18" s="13" t="s">
        <v>29</v>
      </c>
      <c r="D18" s="7"/>
      <c r="E18" s="8"/>
    </row>
    <row r="19" customFormat="false" ht="12.8" hidden="false" customHeight="false" outlineLevel="0" collapsed="false">
      <c r="D19" s="7"/>
      <c r="E19" s="8"/>
    </row>
    <row r="20" customFormat="false" ht="12.8" hidden="false" customHeight="false" outlineLevel="0" collapsed="false">
      <c r="A20" s="14" t="s">
        <v>30</v>
      </c>
      <c r="D20" s="7"/>
      <c r="E20" s="8"/>
    </row>
    <row r="21" customFormat="false" ht="12.8" hidden="false" customHeight="false" outlineLevel="0" collapsed="false">
      <c r="A21" s="2" t="s">
        <v>31</v>
      </c>
      <c r="D21" s="7"/>
      <c r="E21" s="8"/>
    </row>
    <row r="22" customFormat="false" ht="12.8" hidden="false" customHeight="false" outlineLevel="0" collapsed="false">
      <c r="D22" s="7"/>
      <c r="E22" s="8"/>
    </row>
    <row r="23" customFormat="false" ht="12.8" hidden="false" customHeight="false" outlineLevel="0" collapsed="false">
      <c r="D23" s="7"/>
      <c r="E23" s="7"/>
    </row>
    <row r="24" customFormat="false" ht="12.8" hidden="false" customHeight="false" outlineLevel="0" collapsed="false">
      <c r="D24" s="7"/>
      <c r="E24" s="7"/>
    </row>
    <row r="25" customFormat="false" ht="12.8" hidden="false" customHeight="false" outlineLevel="0" collapsed="false">
      <c r="D25" s="7"/>
      <c r="E25" s="7"/>
    </row>
    <row r="26" customFormat="false" ht="12.8" hidden="false" customHeight="false" outlineLevel="0" collapsed="false">
      <c r="D26" s="7"/>
      <c r="E26" s="7"/>
    </row>
    <row r="27" customFormat="false" ht="12.8" hidden="false" customHeight="false" outlineLevel="0" collapsed="false">
      <c r="D27" s="7"/>
      <c r="E27" s="7"/>
    </row>
    <row r="28" customFormat="false" ht="12.8" hidden="false" customHeight="false" outlineLevel="0" collapsed="false">
      <c r="D28" s="7"/>
      <c r="E28" s="7"/>
    </row>
    <row r="29" customFormat="false" ht="12.8" hidden="false" customHeight="false" outlineLevel="0" collapsed="false">
      <c r="D29" s="7"/>
      <c r="E29" s="7"/>
    </row>
    <row r="30" customFormat="false" ht="12.8" hidden="false" customHeight="false" outlineLevel="0" collapsed="false">
      <c r="D30" s="7"/>
      <c r="E30" s="7"/>
    </row>
    <row r="31" customFormat="false" ht="12.8" hidden="false" customHeight="false" outlineLevel="0" collapsed="false">
      <c r="D31" s="7"/>
      <c r="E31" s="7"/>
    </row>
    <row r="32" customFormat="false" ht="12.8" hidden="false" customHeight="false" outlineLevel="0" collapsed="false">
      <c r="D32" s="7"/>
      <c r="E32" s="7"/>
    </row>
    <row r="33" customFormat="false" ht="12.8" hidden="false" customHeight="false" outlineLevel="0" collapsed="false">
      <c r="D33" s="7"/>
      <c r="E33" s="7"/>
    </row>
    <row r="34" customFormat="false" ht="12.8" hidden="false" customHeight="false" outlineLevel="0" collapsed="false">
      <c r="D34" s="7"/>
      <c r="E34" s="7"/>
    </row>
    <row r="39" customFormat="false" ht="12.8" hidden="false" customHeight="false" outlineLevel="0" collapsed="false">
      <c r="B39" s="15"/>
      <c r="C39" s="15"/>
      <c r="D39" s="15"/>
      <c r="E39" s="15"/>
      <c r="F39" s="15"/>
      <c r="G39" s="15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2021-08-10T18:03:19Z</dcterms:created>
  <dc:creator/>
  <dc:description/>
  <dc:language>en-US</dc:language>
  <cp:lastModifiedBy>Norbert</cp:lastModifiedBy>
  <dcterms:modified xsi:type="dcterms:W3CDTF">2025-07-15T16:21:56Z</dcterms:modified>
  <cp:revision>112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